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65747bc6d8bcea/Desktop/The Klarity Lab/"/>
    </mc:Choice>
  </mc:AlternateContent>
  <xr:revisionPtr revIDLastSave="66" documentId="13_ncr:1_{82C94543-B7AF-40B1-9010-67CC5996136D}" xr6:coauthVersionLast="47" xr6:coauthVersionMax="47" xr10:uidLastSave="{A8646FA6-68A9-4BF6-914F-1E14CC20FD4B}"/>
  <bookViews>
    <workbookView xWindow="-120" yWindow="-120" windowWidth="29040" windowHeight="15720" xr2:uid="{6ED63DCF-3676-489A-B4A9-FCEFFB2E37C3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1" l="1"/>
  <c r="O18" i="1"/>
  <c r="O19" i="1"/>
  <c r="O20" i="1"/>
  <c r="O21" i="1"/>
  <c r="O22" i="1"/>
  <c r="O23" i="1"/>
  <c r="O24" i="1"/>
  <c r="O25" i="1"/>
  <c r="O16" i="1"/>
  <c r="N17" i="1"/>
  <c r="N18" i="1"/>
  <c r="N19" i="1"/>
  <c r="N20" i="1"/>
  <c r="N21" i="1"/>
  <c r="N22" i="1"/>
  <c r="N23" i="1"/>
  <c r="N24" i="1"/>
  <c r="N25" i="1"/>
  <c r="N16" i="1"/>
  <c r="E30" i="1"/>
  <c r="E31" i="1"/>
  <c r="E32" i="1"/>
  <c r="E33" i="1"/>
  <c r="E34" i="1"/>
  <c r="E35" i="1"/>
  <c r="E36" i="1"/>
  <c r="E37" i="1"/>
  <c r="E38" i="1"/>
  <c r="E29" i="1"/>
  <c r="D30" i="1"/>
  <c r="D31" i="1"/>
  <c r="D32" i="1"/>
  <c r="D33" i="1"/>
  <c r="D34" i="1"/>
  <c r="D35" i="1"/>
  <c r="D36" i="1"/>
  <c r="D37" i="1"/>
  <c r="D38" i="1"/>
  <c r="D29" i="1"/>
  <c r="M17" i="1"/>
  <c r="M18" i="1"/>
  <c r="M19" i="1"/>
  <c r="M20" i="1"/>
  <c r="M21" i="1"/>
  <c r="M22" i="1"/>
  <c r="M23" i="1"/>
  <c r="M24" i="1"/>
  <c r="M25" i="1"/>
  <c r="M16" i="1"/>
  <c r="L17" i="1"/>
  <c r="L18" i="1"/>
  <c r="L19" i="1"/>
  <c r="L20" i="1"/>
  <c r="L21" i="1"/>
  <c r="L22" i="1"/>
  <c r="L23" i="1"/>
  <c r="L24" i="1"/>
  <c r="L25" i="1"/>
  <c r="L16" i="1"/>
  <c r="K17" i="1"/>
  <c r="K18" i="1"/>
  <c r="K19" i="1"/>
  <c r="K20" i="1"/>
  <c r="K21" i="1"/>
  <c r="K22" i="1"/>
  <c r="K23" i="1"/>
  <c r="K24" i="1"/>
  <c r="K25" i="1"/>
  <c r="K16" i="1"/>
  <c r="J17" i="1" a="1"/>
  <c r="J17" i="1"/>
  <c r="J18" i="1" a="1"/>
  <c r="J18" i="1" s="1"/>
  <c r="J19" i="1" a="1"/>
  <c r="J19" i="1"/>
  <c r="J20" i="1" a="1"/>
  <c r="J20" i="1"/>
  <c r="J21" i="1" a="1"/>
  <c r="J21" i="1" s="1"/>
  <c r="J22" i="1" a="1"/>
  <c r="J22" i="1"/>
  <c r="J23" i="1" a="1"/>
  <c r="J23" i="1" s="1"/>
  <c r="J24" i="1" a="1"/>
  <c r="J24" i="1"/>
  <c r="J25" i="1" a="1"/>
  <c r="J25" i="1" s="1"/>
  <c r="J16" i="1" a="1"/>
  <c r="J16" i="1" s="1"/>
  <c r="E17" i="1"/>
  <c r="E18" i="1"/>
  <c r="E19" i="1"/>
  <c r="E20" i="1"/>
  <c r="E21" i="1"/>
  <c r="E22" i="1"/>
  <c r="E23" i="1"/>
  <c r="E24" i="1"/>
  <c r="E25" i="1"/>
  <c r="E16" i="1"/>
  <c r="D17" i="1"/>
  <c r="D18" i="1"/>
  <c r="D19" i="1"/>
  <c r="D20" i="1"/>
  <c r="D21" i="1"/>
  <c r="D22" i="1"/>
  <c r="D23" i="1"/>
  <c r="D24" i="1"/>
  <c r="D25" i="1"/>
  <c r="D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<sst xmlns="http://schemas.openxmlformats.org/spreadsheetml/2006/main" count="107" uniqueCount="73">
  <si>
    <t>HR DATA ANALYSIS CASE STUDY</t>
  </si>
  <si>
    <t>You have just joined the HR team as a Data Analyst.</t>
  </si>
  <si>
    <t>Your manager has provided you with employee data but has raised concerns about data quality and reporting.</t>
  </si>
  <si>
    <t>Your task is to clean the data, apply company rules, and prepare it for decision-making.</t>
  </si>
  <si>
    <t>MANAGER'S INSTRUCTIONS:</t>
  </si>
  <si>
    <t xml:space="preserve">   - Score ≥ 80 → Outstanding</t>
  </si>
  <si>
    <t xml:space="preserve">   - Score ≥ 60 → Good</t>
  </si>
  <si>
    <t xml:space="preserve">   - Score ≥ 50 → Average</t>
  </si>
  <si>
    <t xml:space="preserve">   - Score &lt; 50 → Poor</t>
  </si>
  <si>
    <t xml:space="preserve">   Name | Department | Performance Rating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</si>
  <si>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Employee names are not properly formatted. Clean and standardize them before use.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</si>
  <si>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Email addresses must follow a consistent format. Ensure all emails are in lowercase.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</si>
  <si>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The company evaluates employee performance using the following rules:</t>
    </r>
  </si>
  <si>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Any employee with a score of at least 50 is considered to have passed.</t>
    </r>
  </si>
  <si>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Only employees who scored 60 and above AND received a bonus are eligible for promotion.</t>
    </r>
  </si>
  <si>
    <r>
      <rPr>
        <b/>
        <sz val="11"/>
        <color theme="1"/>
        <rFont val="Calibri"/>
        <family val="2"/>
        <scheme val="minor"/>
      </rPr>
      <t>6.</t>
    </r>
    <r>
      <rPr>
        <sz val="11"/>
        <color theme="1"/>
        <rFont val="Calibri"/>
        <family val="2"/>
        <scheme val="minor"/>
      </rPr>
      <t xml:space="preserve"> Employees who did not meet the pass mark should be flagged for review.</t>
    </r>
  </si>
  <si>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. Some employee records may not exist in the database. Ensure errors are handled properly.</t>
    </r>
  </si>
  <si>
    <r>
      <rPr>
        <b/>
        <sz val="11"/>
        <color theme="1"/>
        <rFont val="Calibri"/>
        <family val="2"/>
        <scheme val="minor"/>
      </rPr>
      <t>9.</t>
    </r>
    <r>
      <rPr>
        <sz val="11"/>
        <color theme="1"/>
        <rFont val="Calibri"/>
        <family val="2"/>
        <scheme val="minor"/>
      </rPr>
      <t xml:space="preserve"> Management requires a simple summary of each employee in this format:</t>
    </r>
  </si>
  <si>
    <t>Emp ID</t>
  </si>
  <si>
    <t>Raw Name</t>
  </si>
  <si>
    <t>Email</t>
  </si>
  <si>
    <t>Department</t>
  </si>
  <si>
    <t>Score</t>
  </si>
  <si>
    <t>Bonus</t>
  </si>
  <si>
    <t>Status</t>
  </si>
  <si>
    <t>Clean Name</t>
  </si>
  <si>
    <t>Clean Email</t>
  </si>
  <si>
    <t>Rating</t>
  </si>
  <si>
    <t>Pass/Fail</t>
  </si>
  <si>
    <t>Eligibility</t>
  </si>
  <si>
    <t>Lookup Name</t>
  </si>
  <si>
    <t>Lookup Dept</t>
  </si>
  <si>
    <t>Summary</t>
  </si>
  <si>
    <t>Final Output</t>
  </si>
  <si>
    <t xml:space="preserve">  john   doe</t>
  </si>
  <si>
    <t>JOHN.DOE@EMAIL.COM</t>
  </si>
  <si>
    <t>Sales</t>
  </si>
  <si>
    <t>Active</t>
  </si>
  <si>
    <t>mary-ann smith</t>
  </si>
  <si>
    <t>mary.SMITH@email.com</t>
  </si>
  <si>
    <t>HR</t>
  </si>
  <si>
    <t>Inactive</t>
  </si>
  <si>
    <t>PETER OBI</t>
  </si>
  <si>
    <t>PETER.OBI@mail.com</t>
  </si>
  <si>
    <t>Finance</t>
  </si>
  <si>
    <t xml:space="preserve">   ada   egwu</t>
  </si>
  <si>
    <t>ADA.EGWU@email.com</t>
  </si>
  <si>
    <t>Marketing</t>
  </si>
  <si>
    <t>chinedu   okafor</t>
  </si>
  <si>
    <t>CHINEDU.OKAFOR@email.com</t>
  </si>
  <si>
    <t>IT</t>
  </si>
  <si>
    <t>fatima  Bello</t>
  </si>
  <si>
    <t>FATIMA.BELLO@email.com</t>
  </si>
  <si>
    <t>Admin</t>
  </si>
  <si>
    <t xml:space="preserve">emeka egwu  </t>
  </si>
  <si>
    <t>EMEKA.EGWU@EMAIL.COM</t>
  </si>
  <si>
    <t>Logistics</t>
  </si>
  <si>
    <t>GRACE   JOHNSON</t>
  </si>
  <si>
    <t>GRACE.JOHNSON@email.com</t>
  </si>
  <si>
    <t>Legal</t>
  </si>
  <si>
    <t xml:space="preserve">  samuel egwu</t>
  </si>
  <si>
    <t>SAMUEL.EGWU@email.com</t>
  </si>
  <si>
    <t>Support</t>
  </si>
  <si>
    <t>ngozi   egwu</t>
  </si>
  <si>
    <t>NGOZI.EGWU@email.com</t>
  </si>
  <si>
    <t>Operations</t>
  </si>
  <si>
    <r>
      <rPr>
        <b/>
        <sz val="11"/>
        <color theme="1"/>
        <rFont val="Calibri"/>
        <family val="2"/>
        <scheme val="minor"/>
      </rPr>
      <t>7.</t>
    </r>
    <r>
      <rPr>
        <sz val="11"/>
        <color theme="1"/>
        <rFont val="Calibri"/>
        <family val="2"/>
        <scheme val="minor"/>
      </rPr>
      <t xml:space="preserve"> Use the company’s official database to verify employee details </t>
    </r>
  </si>
  <si>
    <t>Raw Database</t>
  </si>
  <si>
    <t>Clean Database</t>
  </si>
  <si>
    <t>Employee Verification</t>
  </si>
  <si>
    <r>
      <rPr>
        <b/>
        <sz val="11"/>
        <color theme="1"/>
        <rFont val="Calibri"/>
        <family val="2"/>
        <scheme val="minor"/>
      </rPr>
      <t>10.</t>
    </r>
    <r>
      <rPr>
        <sz val="11"/>
        <color theme="1"/>
        <rFont val="Calibri"/>
        <family val="2"/>
        <scheme val="minor"/>
      </rPr>
      <t xml:space="preserve"> Management wants a final output showing top performers in this format:</t>
    </r>
  </si>
  <si>
    <t xml:space="preserve">    Name - Rating </t>
  </si>
  <si>
    <t>Needs Attention (Flagged for 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</si>
</sst>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1" fillId="0" borderId="2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616A-074A-4EAE-8CAF-100BC266D88D}">
  <dimension ref="A1:O38"/>
  <sheetViews>
    <sheetView tabSelected="1" topLeftCell="A4" workbookViewId="0">
      <selection activeCell="O20" sqref="O20"/>
    </sheetView>
  </sheetViews>
  <sheetFormatPr defaultRowHeight="15" x14ac:dyDescent="0.25"/>
  <cols>
    <col min="1" max="1" width="94.140625" bestFit="1" customWidth="1"/>
    <col min="3" max="3" width="10.85546875" bestFit="1" customWidth="1"/>
    <col min="4" max="4" width="17" bestFit="1" customWidth="1"/>
    <col min="5" max="5" width="26.85546875" bestFit="1" customWidth="1"/>
    <col min="6" max="6" width="10.85546875" bestFit="1" customWidth="1"/>
    <col min="7" max="9" width="10.85546875" customWidth="1"/>
    <col min="10" max="10" width="24.42578125" customWidth="1"/>
    <col min="11" max="11" width="14.5703125" bestFit="1" customWidth="1"/>
    <col min="12" max="12" width="12.42578125" bestFit="1" customWidth="1"/>
    <col min="13" max="13" width="37" customWidth="1"/>
    <col min="14" max="14" width="30.7109375" bestFit="1" customWidth="1"/>
    <col min="15" max="15" width="18.140625" customWidth="1"/>
    <col min="18" max="18" width="14.5703125" bestFit="1" customWidth="1"/>
    <col min="20" max="20" width="11.5703125" bestFit="1" customWidth="1"/>
    <col min="22" max="22" width="10.85546875" bestFit="1" customWidth="1"/>
  </cols>
  <sheetData>
    <row r="1" spans="1:15" ht="18.75" x14ac:dyDescent="0.3">
      <c r="A1" s="3" t="s">
        <v>0</v>
      </c>
      <c r="C1" s="8" t="s">
        <v>67</v>
      </c>
      <c r="J1" s="7"/>
    </row>
    <row r="2" spans="1:15" x14ac:dyDescent="0.25">
      <c r="A2" s="2" t="s">
        <v>1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</row>
    <row r="3" spans="1:15" x14ac:dyDescent="0.25">
      <c r="A3" s="2" t="s">
        <v>2</v>
      </c>
      <c r="C3" s="5">
        <v>101</v>
      </c>
      <c r="D3" s="5" t="s">
        <v>34</v>
      </c>
      <c r="E3" s="5" t="s">
        <v>35</v>
      </c>
      <c r="F3" s="5" t="s">
        <v>36</v>
      </c>
      <c r="G3" s="5">
        <v>65</v>
      </c>
      <c r="H3" s="5">
        <v>500</v>
      </c>
      <c r="I3" s="5" t="s">
        <v>37</v>
      </c>
    </row>
    <row r="4" spans="1:15" x14ac:dyDescent="0.25">
      <c r="A4" s="2" t="s">
        <v>3</v>
      </c>
      <c r="C4" s="5">
        <v>102</v>
      </c>
      <c r="D4" s="5" t="s">
        <v>38</v>
      </c>
      <c r="E4" s="5" t="s">
        <v>39</v>
      </c>
      <c r="F4" s="5" t="s">
        <v>40</v>
      </c>
      <c r="G4" s="5">
        <v>45</v>
      </c>
      <c r="H4" s="5">
        <v>0</v>
      </c>
      <c r="I4" s="5" t="s">
        <v>41</v>
      </c>
    </row>
    <row r="5" spans="1:15" x14ac:dyDescent="0.25">
      <c r="A5" s="1"/>
      <c r="C5" s="5">
        <v>103</v>
      </c>
      <c r="D5" s="5" t="s">
        <v>42</v>
      </c>
      <c r="E5" s="5" t="s">
        <v>43</v>
      </c>
      <c r="F5" s="5" t="s">
        <v>44</v>
      </c>
      <c r="G5" s="5">
        <v>70</v>
      </c>
      <c r="H5" s="5">
        <v>1000</v>
      </c>
      <c r="I5" s="5" t="s">
        <v>37</v>
      </c>
    </row>
    <row r="6" spans="1:15" x14ac:dyDescent="0.25">
      <c r="A6" s="4" t="s">
        <v>4</v>
      </c>
      <c r="C6" s="5">
        <v>104</v>
      </c>
      <c r="D6" s="5" t="s">
        <v>45</v>
      </c>
      <c r="E6" s="5" t="s">
        <v>46</v>
      </c>
      <c r="F6" s="5" t="s">
        <v>47</v>
      </c>
      <c r="G6" s="5">
        <v>30</v>
      </c>
      <c r="H6" s="5">
        <v>0</v>
      </c>
      <c r="I6" s="5" t="s">
        <v>37</v>
      </c>
    </row>
    <row r="7" spans="1:15" x14ac:dyDescent="0.25">
      <c r="A7" s="1" t="s">
        <v>10</v>
      </c>
      <c r="C7" s="5">
        <v>105</v>
      </c>
      <c r="D7" s="5" t="s">
        <v>48</v>
      </c>
      <c r="E7" s="5" t="s">
        <v>49</v>
      </c>
      <c r="F7" s="5" t="s">
        <v>50</v>
      </c>
      <c r="G7" s="5">
        <v>80</v>
      </c>
      <c r="H7" s="5">
        <v>1500</v>
      </c>
      <c r="I7" s="5" t="s">
        <v>37</v>
      </c>
    </row>
    <row r="8" spans="1:15" x14ac:dyDescent="0.25">
      <c r="A8" s="1" t="s">
        <v>11</v>
      </c>
      <c r="C8" s="5">
        <v>106</v>
      </c>
      <c r="D8" s="5" t="s">
        <v>51</v>
      </c>
      <c r="E8" s="5" t="s">
        <v>52</v>
      </c>
      <c r="F8" s="5" t="s">
        <v>53</v>
      </c>
      <c r="G8" s="5">
        <v>55</v>
      </c>
      <c r="H8" s="5">
        <v>300</v>
      </c>
      <c r="I8" s="5" t="s">
        <v>41</v>
      </c>
    </row>
    <row r="9" spans="1:15" x14ac:dyDescent="0.25">
      <c r="A9" s="1" t="s">
        <v>12</v>
      </c>
      <c r="C9" s="5">
        <v>107</v>
      </c>
      <c r="D9" s="5" t="s">
        <v>54</v>
      </c>
      <c r="E9" s="5" t="s">
        <v>55</v>
      </c>
      <c r="F9" s="5" t="s">
        <v>56</v>
      </c>
      <c r="G9" s="5">
        <v>20</v>
      </c>
      <c r="H9" s="5">
        <v>0</v>
      </c>
      <c r="I9" s="5" t="s">
        <v>37</v>
      </c>
    </row>
    <row r="10" spans="1:15" x14ac:dyDescent="0.25">
      <c r="A10" s="1" t="s">
        <v>5</v>
      </c>
      <c r="C10" s="5">
        <v>108</v>
      </c>
      <c r="D10" s="5" t="s">
        <v>57</v>
      </c>
      <c r="E10" s="5" t="s">
        <v>58</v>
      </c>
      <c r="F10" s="5" t="s">
        <v>59</v>
      </c>
      <c r="G10" s="5">
        <v>90</v>
      </c>
      <c r="H10" s="5">
        <v>2000</v>
      </c>
      <c r="I10" s="5" t="s">
        <v>37</v>
      </c>
    </row>
    <row r="11" spans="1:15" x14ac:dyDescent="0.25">
      <c r="A11" s="1" t="s">
        <v>6</v>
      </c>
      <c r="C11" s="5">
        <v>109</v>
      </c>
      <c r="D11" s="5" t="s">
        <v>60</v>
      </c>
      <c r="E11" s="5" t="s">
        <v>61</v>
      </c>
      <c r="F11" s="5" t="s">
        <v>62</v>
      </c>
      <c r="G11" s="5">
        <v>60</v>
      </c>
      <c r="H11" s="5">
        <v>400</v>
      </c>
      <c r="I11" s="5" t="s">
        <v>37</v>
      </c>
    </row>
    <row r="12" spans="1:15" x14ac:dyDescent="0.25">
      <c r="A12" s="1" t="s">
        <v>7</v>
      </c>
      <c r="C12" s="5">
        <v>110</v>
      </c>
      <c r="D12" s="5" t="s">
        <v>63</v>
      </c>
      <c r="E12" s="5" t="s">
        <v>64</v>
      </c>
      <c r="F12" s="5" t="s">
        <v>65</v>
      </c>
      <c r="G12" s="5">
        <v>75</v>
      </c>
      <c r="H12" s="5">
        <v>800</v>
      </c>
      <c r="I12" s="5" t="s">
        <v>37</v>
      </c>
    </row>
    <row r="13" spans="1:15" x14ac:dyDescent="0.25">
      <c r="A13" s="1" t="s">
        <v>8</v>
      </c>
    </row>
    <row r="14" spans="1:15" x14ac:dyDescent="0.25">
      <c r="A14" s="1" t="s">
        <v>13</v>
      </c>
      <c r="C14" s="8" t="s">
        <v>68</v>
      </c>
    </row>
    <row r="15" spans="1:15" x14ac:dyDescent="0.25">
      <c r="A15" s="1" t="s">
        <v>14</v>
      </c>
      <c r="C15" s="6" t="s">
        <v>18</v>
      </c>
      <c r="D15" s="6" t="s">
        <v>25</v>
      </c>
      <c r="E15" s="6" t="s">
        <v>26</v>
      </c>
      <c r="F15" s="6" t="s">
        <v>21</v>
      </c>
      <c r="G15" s="6" t="s">
        <v>22</v>
      </c>
      <c r="H15" s="6" t="s">
        <v>23</v>
      </c>
      <c r="I15" s="6" t="s">
        <v>24</v>
      </c>
      <c r="J15" s="6" t="s">
        <v>27</v>
      </c>
      <c r="K15" s="6" t="s">
        <v>28</v>
      </c>
      <c r="L15" s="6" t="s">
        <v>29</v>
      </c>
      <c r="M15" s="6" t="s">
        <v>72</v>
      </c>
      <c r="N15" s="6" t="s">
        <v>32</v>
      </c>
      <c r="O15" s="6" t="s">
        <v>33</v>
      </c>
    </row>
    <row r="16" spans="1:15" x14ac:dyDescent="0.25">
      <c r="A16" s="1" t="s">
        <v>15</v>
      </c>
      <c r="C16" s="5">
        <v>101</v>
      </c>
      <c r="D16" s="5" t="str">
        <f>TRIM(PROPER(CLEAN(D3)))</f>
        <v>John Doe</v>
      </c>
      <c r="E16" s="5" t="str">
        <f>TRIM(LOWER(CLEAN(E3)))</f>
        <v>john.doe@email.com</v>
      </c>
      <c r="F16" s="5" t="s">
        <v>36</v>
      </c>
      <c r="G16" s="5">
        <v>65</v>
      </c>
      <c r="H16" s="5">
        <v>500</v>
      </c>
      <c r="I16" s="5" t="s">
        <v>37</v>
      </c>
      <c r="J16" s="5" t="str" cm="1">
        <f t="array" ref="J16">_xlfn.IFS(G16&gt;= 80,"Outstanding", G16 &gt;= 60, "Good", G16&gt;=50,"Average", G16&lt;50, "Poor")</f>
        <v>Good</v>
      </c>
      <c r="K16" s="5" t="str">
        <f>IF(G16&gt;=50,"Pass", "Fail")</f>
        <v>Pass</v>
      </c>
      <c r="L16" s="5" t="str">
        <f>IF(AND(G16&gt;=60,H16&gt;0),"Eligible","NOT Eligible")</f>
        <v>Eligible</v>
      </c>
      <c r="M16" s="5" t="str">
        <f>IF(NOT(K16= "Pass"),"Flag", "Ignore")</f>
        <v>Ignore</v>
      </c>
      <c r="N16" s="5" t="str">
        <f>_xlfn.CONCAT(D16," ",F16," ",J16)</f>
        <v>John Doe Sales Good</v>
      </c>
      <c r="O16" s="5" t="str">
        <f>IF(J16="Outstanding",_xlfn.CONCAT(D16,"-",F16)," ")</f>
        <v xml:space="preserve"> </v>
      </c>
    </row>
    <row r="17" spans="1:15" x14ac:dyDescent="0.25">
      <c r="A17" s="1" t="s">
        <v>66</v>
      </c>
      <c r="C17" s="5">
        <v>102</v>
      </c>
      <c r="D17" s="5" t="str">
        <f t="shared" ref="D17:D25" si="0">TRIM(PROPER(CLEAN(D4)))</f>
        <v>Mary-Ann Smith</v>
      </c>
      <c r="E17" s="5" t="str">
        <f t="shared" ref="E17:E25" si="1">TRIM(LOWER(CLEAN(E4)))</f>
        <v>mary.smith@email.com</v>
      </c>
      <c r="F17" s="5" t="s">
        <v>40</v>
      </c>
      <c r="G17" s="5">
        <v>45</v>
      </c>
      <c r="H17" s="5">
        <v>0</v>
      </c>
      <c r="I17" s="5" t="s">
        <v>41</v>
      </c>
      <c r="J17" s="5" t="str" cm="1">
        <f t="array" ref="J17">_xlfn.IFS(G17&gt;= 80,"Outstanding", G17 &gt;= 60, "Good", G17&gt;=50,"Average", G17&lt;50, "Poor")</f>
        <v>Poor</v>
      </c>
      <c r="K17" s="5" t="str">
        <f t="shared" ref="K17:K25" si="2">IF(G17&gt;=50,"Pass", "Fail")</f>
        <v>Fail</v>
      </c>
      <c r="L17" s="5" t="str">
        <f t="shared" ref="L17:L25" si="3">IF(AND(G17&gt;=60,H17&gt;0),"Eligible","NOT Eligible")</f>
        <v>NOT Eligible</v>
      </c>
      <c r="M17" s="5" t="str">
        <f t="shared" ref="M17:M25" si="4">IF(NOT(K17= "Pass"),"Flag", "Ignore")</f>
        <v>Flag</v>
      </c>
      <c r="N17" s="5" t="str">
        <f t="shared" ref="N17:N25" si="5">_xlfn.CONCAT(D17," ",F17," ",J17)</f>
        <v>Mary-Ann Smith HR Poor</v>
      </c>
      <c r="O17" s="5" t="str">
        <f t="shared" ref="O17:O25" si="6">IF(J17="Outstanding",_xlfn.CONCAT(D17,"-",F17)," ")</f>
        <v xml:space="preserve"> </v>
      </c>
    </row>
    <row r="18" spans="1:15" x14ac:dyDescent="0.25">
      <c r="A18" s="1" t="s">
        <v>16</v>
      </c>
      <c r="C18" s="5">
        <v>103</v>
      </c>
      <c r="D18" s="5" t="str">
        <f t="shared" si="0"/>
        <v>Peter Obi</v>
      </c>
      <c r="E18" s="5" t="str">
        <f t="shared" si="1"/>
        <v>peter.obi@mail.com</v>
      </c>
      <c r="F18" s="5" t="s">
        <v>44</v>
      </c>
      <c r="G18" s="5">
        <v>70</v>
      </c>
      <c r="H18" s="5">
        <v>1000</v>
      </c>
      <c r="I18" s="5" t="s">
        <v>37</v>
      </c>
      <c r="J18" s="5" t="str" cm="1">
        <f t="array" ref="J18">_xlfn.IFS(G18&gt;= 80,"Outstanding", G18 &gt;= 60, "Good", G18&gt;=50,"Average", G18&lt;50, "Poor")</f>
        <v>Good</v>
      </c>
      <c r="K18" s="5" t="str">
        <f t="shared" si="2"/>
        <v>Pass</v>
      </c>
      <c r="L18" s="5" t="str">
        <f t="shared" si="3"/>
        <v>Eligible</v>
      </c>
      <c r="M18" s="5" t="str">
        <f t="shared" si="4"/>
        <v>Ignore</v>
      </c>
      <c r="N18" s="5" t="str">
        <f t="shared" si="5"/>
        <v>Peter Obi Finance Good</v>
      </c>
      <c r="O18" s="5" t="str">
        <f t="shared" si="6"/>
        <v xml:space="preserve"> </v>
      </c>
    </row>
    <row r="19" spans="1:15" x14ac:dyDescent="0.25">
      <c r="A19" s="1" t="s">
        <v>17</v>
      </c>
      <c r="C19" s="5">
        <v>104</v>
      </c>
      <c r="D19" s="5" t="str">
        <f t="shared" si="0"/>
        <v>Ada Egwu</v>
      </c>
      <c r="E19" s="5" t="str">
        <f t="shared" si="1"/>
        <v>ada.egwu@email.com</v>
      </c>
      <c r="F19" s="5" t="s">
        <v>47</v>
      </c>
      <c r="G19" s="5">
        <v>30</v>
      </c>
      <c r="H19" s="5">
        <v>0</v>
      </c>
      <c r="I19" s="5" t="s">
        <v>37</v>
      </c>
      <c r="J19" s="5" t="str" cm="1">
        <f t="array" ref="J19">_xlfn.IFS(G19&gt;= 80,"Outstanding", G19 &gt;= 60, "Good", G19&gt;=50,"Average", G19&lt;50, "Poor")</f>
        <v>Poor</v>
      </c>
      <c r="K19" s="5" t="str">
        <f t="shared" si="2"/>
        <v>Fail</v>
      </c>
      <c r="L19" s="5" t="str">
        <f t="shared" si="3"/>
        <v>NOT Eligible</v>
      </c>
      <c r="M19" s="5" t="str">
        <f t="shared" si="4"/>
        <v>Flag</v>
      </c>
      <c r="N19" s="5" t="str">
        <f t="shared" si="5"/>
        <v>Ada Egwu Marketing Poor</v>
      </c>
      <c r="O19" s="5" t="str">
        <f t="shared" si="6"/>
        <v xml:space="preserve"> </v>
      </c>
    </row>
    <row r="20" spans="1:15" x14ac:dyDescent="0.25">
      <c r="A20" s="2" t="s">
        <v>9</v>
      </c>
      <c r="C20" s="5">
        <v>105</v>
      </c>
      <c r="D20" s="5" t="str">
        <f t="shared" si="0"/>
        <v>Chinedu Okafor</v>
      </c>
      <c r="E20" s="5" t="str">
        <f t="shared" si="1"/>
        <v>chinedu.okafor@email.com</v>
      </c>
      <c r="F20" s="5" t="s">
        <v>50</v>
      </c>
      <c r="G20" s="5">
        <v>80</v>
      </c>
      <c r="H20" s="5">
        <v>1500</v>
      </c>
      <c r="I20" s="5" t="s">
        <v>37</v>
      </c>
      <c r="J20" s="5" t="str" cm="1">
        <f t="array" ref="J20">_xlfn.IFS(G20&gt;= 80,"Outstanding", G20 &gt;= 60, "Good", G20&gt;=50,"Average", G20&lt;50, "Poor")</f>
        <v>Outstanding</v>
      </c>
      <c r="K20" s="5" t="str">
        <f t="shared" si="2"/>
        <v>Pass</v>
      </c>
      <c r="L20" s="5" t="str">
        <f t="shared" si="3"/>
        <v>Eligible</v>
      </c>
      <c r="M20" s="5" t="str">
        <f t="shared" si="4"/>
        <v>Ignore</v>
      </c>
      <c r="N20" s="5" t="str">
        <f t="shared" si="5"/>
        <v>Chinedu Okafor IT Outstanding</v>
      </c>
      <c r="O20" s="5" t="str">
        <f t="shared" si="6"/>
        <v>Chinedu Okafor-IT</v>
      </c>
    </row>
    <row r="21" spans="1:15" x14ac:dyDescent="0.25">
      <c r="A21" s="1" t="s">
        <v>70</v>
      </c>
      <c r="C21" s="5">
        <v>106</v>
      </c>
      <c r="D21" s="5" t="str">
        <f t="shared" si="0"/>
        <v>Fatima Bello</v>
      </c>
      <c r="E21" s="5" t="str">
        <f t="shared" si="1"/>
        <v>fatima.bello@email.com</v>
      </c>
      <c r="F21" s="5" t="s">
        <v>53</v>
      </c>
      <c r="G21" s="5">
        <v>55</v>
      </c>
      <c r="H21" s="5">
        <v>300</v>
      </c>
      <c r="I21" s="5" t="s">
        <v>41</v>
      </c>
      <c r="J21" s="5" t="str" cm="1">
        <f t="array" ref="J21">_xlfn.IFS(G21&gt;= 80,"Outstanding", G21 &gt;= 60, "Good", G21&gt;=50,"Average", G21&lt;50, "Poor")</f>
        <v>Average</v>
      </c>
      <c r="K21" s="5" t="str">
        <f t="shared" si="2"/>
        <v>Pass</v>
      </c>
      <c r="L21" s="5" t="str">
        <f t="shared" si="3"/>
        <v>NOT Eligible</v>
      </c>
      <c r="M21" s="5" t="str">
        <f t="shared" si="4"/>
        <v>Ignore</v>
      </c>
      <c r="N21" s="5" t="str">
        <f t="shared" si="5"/>
        <v>Fatima Bello Admin Average</v>
      </c>
      <c r="O21" s="5" t="str">
        <f t="shared" si="6"/>
        <v xml:space="preserve"> </v>
      </c>
    </row>
    <row r="22" spans="1:15" x14ac:dyDescent="0.25">
      <c r="A22" s="9" t="s">
        <v>71</v>
      </c>
      <c r="C22" s="5">
        <v>107</v>
      </c>
      <c r="D22" s="5" t="str">
        <f t="shared" si="0"/>
        <v>Emeka Egwu</v>
      </c>
      <c r="E22" s="5" t="str">
        <f t="shared" si="1"/>
        <v>emeka.egwu@email.com</v>
      </c>
      <c r="F22" s="5" t="s">
        <v>56</v>
      </c>
      <c r="G22" s="5">
        <v>20</v>
      </c>
      <c r="H22" s="5">
        <v>0</v>
      </c>
      <c r="I22" s="5" t="s">
        <v>37</v>
      </c>
      <c r="J22" s="5" t="str" cm="1">
        <f t="array" ref="J22">_xlfn.IFS(G22&gt;= 80,"Outstanding", G22 &gt;= 60, "Good", G22&gt;=50,"Average", G22&lt;50, "Poor")</f>
        <v>Poor</v>
      </c>
      <c r="K22" s="5" t="str">
        <f t="shared" si="2"/>
        <v>Fail</v>
      </c>
      <c r="L22" s="5" t="str">
        <f t="shared" si="3"/>
        <v>NOT Eligible</v>
      </c>
      <c r="M22" s="5" t="str">
        <f t="shared" si="4"/>
        <v>Flag</v>
      </c>
      <c r="N22" s="5" t="str">
        <f t="shared" si="5"/>
        <v>Emeka Egwu Logistics Poor</v>
      </c>
      <c r="O22" s="5" t="str">
        <f t="shared" si="6"/>
        <v xml:space="preserve"> </v>
      </c>
    </row>
    <row r="23" spans="1:15" x14ac:dyDescent="0.25">
      <c r="C23" s="5">
        <v>108</v>
      </c>
      <c r="D23" s="5" t="str">
        <f t="shared" si="0"/>
        <v>Grace Johnson</v>
      </c>
      <c r="E23" s="5" t="str">
        <f t="shared" si="1"/>
        <v>grace.johnson@email.com</v>
      </c>
      <c r="F23" s="5" t="s">
        <v>59</v>
      </c>
      <c r="G23" s="5">
        <v>90</v>
      </c>
      <c r="H23" s="5">
        <v>2000</v>
      </c>
      <c r="I23" s="5" t="s">
        <v>37</v>
      </c>
      <c r="J23" s="5" t="str" cm="1">
        <f t="array" ref="J23">_xlfn.IFS(G23&gt;= 80,"Outstanding", G23 &gt;= 60, "Good", G23&gt;=50,"Average", G23&lt;50, "Poor")</f>
        <v>Outstanding</v>
      </c>
      <c r="K23" s="5" t="str">
        <f t="shared" si="2"/>
        <v>Pass</v>
      </c>
      <c r="L23" s="5" t="str">
        <f t="shared" si="3"/>
        <v>Eligible</v>
      </c>
      <c r="M23" s="5" t="str">
        <f t="shared" si="4"/>
        <v>Ignore</v>
      </c>
      <c r="N23" s="5" t="str">
        <f t="shared" si="5"/>
        <v>Grace Johnson Legal Outstanding</v>
      </c>
      <c r="O23" s="5" t="str">
        <f t="shared" si="6"/>
        <v>Grace Johnson-Legal</v>
      </c>
    </row>
    <row r="24" spans="1:15" x14ac:dyDescent="0.25">
      <c r="C24" s="5">
        <v>109</v>
      </c>
      <c r="D24" s="5" t="str">
        <f t="shared" si="0"/>
        <v>Samuel Egwu</v>
      </c>
      <c r="E24" s="5" t="str">
        <f t="shared" si="1"/>
        <v>samuel.egwu@email.com</v>
      </c>
      <c r="F24" s="5" t="s">
        <v>62</v>
      </c>
      <c r="G24" s="5">
        <v>60</v>
      </c>
      <c r="H24" s="5">
        <v>400</v>
      </c>
      <c r="I24" s="5" t="s">
        <v>37</v>
      </c>
      <c r="J24" s="5" t="str" cm="1">
        <f t="array" ref="J24">_xlfn.IFS(G24&gt;= 80,"Outstanding", G24 &gt;= 60, "Good", G24&gt;=50,"Average", G24&lt;50, "Poor")</f>
        <v>Good</v>
      </c>
      <c r="K24" s="5" t="str">
        <f t="shared" si="2"/>
        <v>Pass</v>
      </c>
      <c r="L24" s="5" t="str">
        <f t="shared" si="3"/>
        <v>Eligible</v>
      </c>
      <c r="M24" s="5" t="str">
        <f t="shared" si="4"/>
        <v>Ignore</v>
      </c>
      <c r="N24" s="5" t="str">
        <f t="shared" si="5"/>
        <v>Samuel Egwu Support Good</v>
      </c>
      <c r="O24" s="5" t="str">
        <f t="shared" si="6"/>
        <v xml:space="preserve"> </v>
      </c>
    </row>
    <row r="25" spans="1:15" x14ac:dyDescent="0.25">
      <c r="C25" s="5">
        <v>110</v>
      </c>
      <c r="D25" s="5" t="str">
        <f t="shared" si="0"/>
        <v>Ngozi Egwu</v>
      </c>
      <c r="E25" s="5" t="str">
        <f t="shared" si="1"/>
        <v>ngozi.egwu@email.com</v>
      </c>
      <c r="F25" s="5" t="s">
        <v>65</v>
      </c>
      <c r="G25" s="5">
        <v>75</v>
      </c>
      <c r="H25" s="5">
        <v>800</v>
      </c>
      <c r="I25" s="5" t="s">
        <v>37</v>
      </c>
      <c r="J25" s="5" t="str" cm="1">
        <f t="array" ref="J25">_xlfn.IFS(G25&gt;= 80,"Outstanding", G25 &gt;= 60, "Good", G25&gt;=50,"Average", G25&lt;50, "Poor")</f>
        <v>Good</v>
      </c>
      <c r="K25" s="5" t="str">
        <f t="shared" si="2"/>
        <v>Pass</v>
      </c>
      <c r="L25" s="5" t="str">
        <f t="shared" si="3"/>
        <v>Eligible</v>
      </c>
      <c r="M25" s="5" t="str">
        <f t="shared" si="4"/>
        <v>Ignore</v>
      </c>
      <c r="N25" s="5" t="str">
        <f t="shared" si="5"/>
        <v>Ngozi Egwu Operations Good</v>
      </c>
      <c r="O25" s="5" t="str">
        <f t="shared" si="6"/>
        <v xml:space="preserve"> </v>
      </c>
    </row>
    <row r="27" spans="1:15" x14ac:dyDescent="0.25">
      <c r="C27" s="8" t="s">
        <v>69</v>
      </c>
    </row>
    <row r="28" spans="1:15" x14ac:dyDescent="0.25">
      <c r="C28" s="6" t="s">
        <v>18</v>
      </c>
      <c r="D28" s="6" t="s">
        <v>30</v>
      </c>
      <c r="E28" s="6" t="s">
        <v>31</v>
      </c>
    </row>
    <row r="29" spans="1:15" x14ac:dyDescent="0.25">
      <c r="C29" s="5">
        <v>110</v>
      </c>
      <c r="D29" s="5" t="str">
        <f>VLOOKUP(C16,$C$15:$O$25,2,FALSE)</f>
        <v>John Doe</v>
      </c>
      <c r="E29" s="5" t="str">
        <f>VLOOKUP(C16,$C$15:$O$25,4,FALSE)</f>
        <v>Sales</v>
      </c>
    </row>
    <row r="30" spans="1:15" x14ac:dyDescent="0.25">
      <c r="C30" s="5">
        <v>101</v>
      </c>
      <c r="D30" s="5" t="str">
        <f t="shared" ref="D30:D38" si="7">VLOOKUP(C17,$C$15:$O$25,2,FALSE)</f>
        <v>Mary-Ann Smith</v>
      </c>
      <c r="E30" s="5" t="str">
        <f t="shared" ref="E30:E38" si="8">VLOOKUP(C17,$C$15:$O$25,4,FALSE)</f>
        <v>HR</v>
      </c>
    </row>
    <row r="31" spans="1:15" x14ac:dyDescent="0.25">
      <c r="C31" s="5">
        <v>105</v>
      </c>
      <c r="D31" s="5" t="str">
        <f t="shared" si="7"/>
        <v>Peter Obi</v>
      </c>
      <c r="E31" s="5" t="str">
        <f t="shared" si="8"/>
        <v>Finance</v>
      </c>
    </row>
    <row r="32" spans="1:15" x14ac:dyDescent="0.25">
      <c r="C32" s="5">
        <v>106</v>
      </c>
      <c r="D32" s="5" t="str">
        <f t="shared" si="7"/>
        <v>Ada Egwu</v>
      </c>
      <c r="E32" s="5" t="str">
        <f t="shared" si="8"/>
        <v>Marketing</v>
      </c>
    </row>
    <row r="33" spans="3:5" x14ac:dyDescent="0.25">
      <c r="C33" s="5">
        <v>102</v>
      </c>
      <c r="D33" s="5" t="str">
        <f t="shared" si="7"/>
        <v>Chinedu Okafor</v>
      </c>
      <c r="E33" s="5" t="str">
        <f t="shared" si="8"/>
        <v>IT</v>
      </c>
    </row>
    <row r="34" spans="3:5" x14ac:dyDescent="0.25">
      <c r="C34" s="5">
        <v>103</v>
      </c>
      <c r="D34" s="5" t="str">
        <f t="shared" si="7"/>
        <v>Fatima Bello</v>
      </c>
      <c r="E34" s="5" t="str">
        <f t="shared" si="8"/>
        <v>Admin</v>
      </c>
    </row>
    <row r="35" spans="3:5" x14ac:dyDescent="0.25">
      <c r="C35" s="5">
        <v>108</v>
      </c>
      <c r="D35" s="5" t="str">
        <f t="shared" si="7"/>
        <v>Emeka Egwu</v>
      </c>
      <c r="E35" s="5" t="str">
        <f t="shared" si="8"/>
        <v>Logistics</v>
      </c>
    </row>
    <row r="36" spans="3:5" x14ac:dyDescent="0.25">
      <c r="C36" s="5">
        <v>120</v>
      </c>
      <c r="D36" s="5" t="str">
        <f t="shared" si="7"/>
        <v>Grace Johnson</v>
      </c>
      <c r="E36" s="5" t="str">
        <f t="shared" si="8"/>
        <v>Legal</v>
      </c>
    </row>
    <row r="37" spans="3:5" x14ac:dyDescent="0.25">
      <c r="C37" s="5">
        <v>104</v>
      </c>
      <c r="D37" s="5" t="str">
        <f t="shared" si="7"/>
        <v>Samuel Egwu</v>
      </c>
      <c r="E37" s="5" t="str">
        <f t="shared" si="8"/>
        <v>Support</v>
      </c>
    </row>
    <row r="38" spans="3:5" x14ac:dyDescent="0.25">
      <c r="C38" s="5">
        <v>111</v>
      </c>
      <c r="D38" s="5" t="str">
        <f t="shared" si="7"/>
        <v>Ngozi Egwu</v>
      </c>
      <c r="E38" s="5" t="str">
        <f t="shared" si="8"/>
        <v>Operations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Shado Mashegoane</cp:lastModifiedBy>
  <dcterms:created xsi:type="dcterms:W3CDTF">2026-04-18T22:47:46Z</dcterms:created>
  <dcterms:modified xsi:type="dcterms:W3CDTF">2026-05-02T21:11:47Z</dcterms:modified>
</cp:coreProperties>
</file>